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\Desktop\Documents\DUT INFO\Deuxième année\Semestre 4\UE42 - Complémentaires\Reprise d'entreprise\"/>
    </mc:Choice>
  </mc:AlternateContent>
  <xr:revisionPtr revIDLastSave="0" documentId="13_ncr:1_{D9FE5871-DF0A-42F5-B028-6DDB337234A4}" xr6:coauthVersionLast="41" xr6:coauthVersionMax="41" xr10:uidLastSave="{00000000-0000-0000-0000-000000000000}"/>
  <bookViews>
    <workbookView xWindow="-110" yWindow="-110" windowWidth="19420" windowHeight="10420" tabRatio="958" activeTab="2" xr2:uid="{7F6B2F42-A105-4F1E-8034-50E47209CFED}"/>
  </bookViews>
  <sheets>
    <sheet name="Données Exercice" sheetId="6" r:id="rId1"/>
    <sheet name="Plan financement" sheetId="7" r:id="rId2"/>
    <sheet name="Tableaux ammortissement" sheetId="8" r:id="rId3"/>
    <sheet name="Tableaux remboursement" sheetId="9" r:id="rId4"/>
    <sheet name="Compte de résultat A.C.I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8" l="1"/>
  <c r="E6" i="8"/>
  <c r="C6" i="8"/>
  <c r="F5" i="8"/>
  <c r="E5" i="8"/>
  <c r="D5" i="8"/>
  <c r="D6" i="8"/>
  <c r="D4" i="8"/>
  <c r="E4" i="8"/>
  <c r="F4" i="8" s="1"/>
  <c r="C5" i="8" s="1"/>
  <c r="D23" i="7"/>
  <c r="D22" i="7"/>
  <c r="D20" i="7"/>
  <c r="D7" i="7"/>
  <c r="D4" i="7"/>
  <c r="F4" i="7"/>
  <c r="F6" i="7"/>
  <c r="F5" i="7"/>
  <c r="F9" i="7"/>
  <c r="E9" i="7"/>
  <c r="F8" i="7"/>
  <c r="F7" i="7" s="1"/>
  <c r="D8" i="7"/>
  <c r="D10" i="7"/>
  <c r="D6" i="7"/>
  <c r="D5" i="7"/>
  <c r="C5" i="7"/>
  <c r="J4" i="9" l="1"/>
</calcChain>
</file>

<file path=xl/sharedStrings.xml><?xml version="1.0" encoding="utf-8"?>
<sst xmlns="http://schemas.openxmlformats.org/spreadsheetml/2006/main" count="125" uniqueCount="99">
  <si>
    <t>BFR</t>
  </si>
  <si>
    <t>BESOIN</t>
  </si>
  <si>
    <t>RESSOURCES</t>
  </si>
  <si>
    <t>Investissement incorporels HT</t>
  </si>
  <si>
    <t>Apports personnels ou capital</t>
  </si>
  <si>
    <t>Investissement Corporels HT</t>
  </si>
  <si>
    <t>Emprunts</t>
  </si>
  <si>
    <t>Réserve de trésorerie</t>
  </si>
  <si>
    <t>TOTAL BESOINS</t>
  </si>
  <si>
    <t>TOTAL RESSOURCES</t>
  </si>
  <si>
    <t>Emprunts restant du</t>
  </si>
  <si>
    <t>Intérêt</t>
  </si>
  <si>
    <t>Amortissement</t>
  </si>
  <si>
    <t>Mensualité</t>
  </si>
  <si>
    <t>Mois</t>
  </si>
  <si>
    <t>Valeurs nette</t>
  </si>
  <si>
    <t>Années</t>
  </si>
  <si>
    <t xml:space="preserve">Matériel : </t>
  </si>
  <si>
    <t>Travaux :</t>
  </si>
  <si>
    <t xml:space="preserve">Stock : </t>
  </si>
  <si>
    <t>Dotations</t>
  </si>
  <si>
    <t>Cumul dotation</t>
  </si>
  <si>
    <t>V.O.H.T</t>
  </si>
  <si>
    <t>VNC</t>
  </si>
  <si>
    <t>Stock</t>
  </si>
  <si>
    <t>Créances clients</t>
  </si>
  <si>
    <t xml:space="preserve">Emprunt </t>
  </si>
  <si>
    <t>Salaire annuel 2019</t>
  </si>
  <si>
    <t>Salaire annuel 2020</t>
  </si>
  <si>
    <t>Installation enseigne :</t>
  </si>
  <si>
    <t>dettes fournisseurs</t>
  </si>
  <si>
    <t>Dettes :</t>
  </si>
  <si>
    <t>Créances :</t>
  </si>
  <si>
    <r>
      <t xml:space="preserve">Tableau ammortissement du </t>
    </r>
    <r>
      <rPr>
        <sz val="11"/>
        <color rgb="FFFF0000"/>
        <rFont val="Calibri"/>
        <family val="2"/>
        <scheme val="minor"/>
      </rPr>
      <t>travaux pt de vente</t>
    </r>
  </si>
  <si>
    <r>
      <t xml:space="preserve">Tableau ammortissement du </t>
    </r>
    <r>
      <rPr>
        <sz val="11"/>
        <color rgb="FFFF0000"/>
        <rFont val="Calibri"/>
        <family val="2"/>
        <scheme val="minor"/>
      </rPr>
      <t>aquisition de matériel</t>
    </r>
  </si>
  <si>
    <r>
      <t xml:space="preserve">Tableau ammortissement du </t>
    </r>
    <r>
      <rPr>
        <sz val="11"/>
        <color rgb="FFFF0000"/>
        <rFont val="Calibri"/>
        <family val="2"/>
        <scheme val="minor"/>
      </rPr>
      <t>installation entreprise</t>
    </r>
  </si>
  <si>
    <t>tx mensuel</t>
  </si>
  <si>
    <t>Valeur</t>
  </si>
  <si>
    <t>tx interet</t>
  </si>
  <si>
    <t>CHARGE</t>
  </si>
  <si>
    <t>PRODUITS</t>
  </si>
  <si>
    <t>Achats</t>
  </si>
  <si>
    <t>Chiffre d'affaires</t>
  </si>
  <si>
    <t>Subvention d'explotation</t>
  </si>
  <si>
    <t>Impôts et taxes</t>
  </si>
  <si>
    <t>Dotation aux ammortissement</t>
  </si>
  <si>
    <t>Ventes de produits finis</t>
  </si>
  <si>
    <t>Ventes de marchandises</t>
  </si>
  <si>
    <t>Ventes de prestationsde services</t>
  </si>
  <si>
    <t>Services e externes</t>
  </si>
  <si>
    <t>Achats de marchandises</t>
  </si>
  <si>
    <t>Achats non stockés (eau,EDF, gaz, fournitures…)</t>
  </si>
  <si>
    <t>Redevances crédit-bail</t>
  </si>
  <si>
    <t>Loyer</t>
  </si>
  <si>
    <t>Entretien/Réparation</t>
  </si>
  <si>
    <t>Assurances</t>
  </si>
  <si>
    <t>Honoraires</t>
  </si>
  <si>
    <t>Publicité</t>
  </si>
  <si>
    <t>Déplacements, missions</t>
  </si>
  <si>
    <t>Frais postaux/Téléphone</t>
  </si>
  <si>
    <t>Services bancaires</t>
  </si>
  <si>
    <t>Autres</t>
  </si>
  <si>
    <t>CET</t>
  </si>
  <si>
    <t>Rémunération dirigéant</t>
  </si>
  <si>
    <t>Cotisation sociales dirigeant</t>
  </si>
  <si>
    <t>Salaires slariés</t>
  </si>
  <si>
    <t>Cotisation sociales salariés</t>
  </si>
  <si>
    <t>Impot societes</t>
  </si>
  <si>
    <t>TOTAL DES CHARGES</t>
  </si>
  <si>
    <t>RESULTAT</t>
  </si>
  <si>
    <t>TOTAL</t>
  </si>
  <si>
    <t>TOTAL DES PRODUITS</t>
  </si>
  <si>
    <t>Charges de personnel</t>
  </si>
  <si>
    <t>Charges financieres</t>
  </si>
  <si>
    <t>CALCUL CAF</t>
  </si>
  <si>
    <t>CALCUL Autofinancement</t>
  </si>
  <si>
    <t xml:space="preserve"> </t>
  </si>
  <si>
    <t>Rachat droit de bail</t>
  </si>
  <si>
    <t>ans</t>
  </si>
  <si>
    <t>Travaux HT</t>
  </si>
  <si>
    <t>Matérielc HT</t>
  </si>
  <si>
    <t>jours</t>
  </si>
  <si>
    <t>/</t>
  </si>
  <si>
    <t>Capital fixé</t>
  </si>
  <si>
    <t>Comptes courants</t>
  </si>
  <si>
    <t>Prêt d'honneur BULTZA</t>
  </si>
  <si>
    <t>Rémunération 2019</t>
  </si>
  <si>
    <t>Rémunération 2020</t>
  </si>
  <si>
    <t>Emprunts :</t>
  </si>
  <si>
    <t>Frais de constitution :</t>
  </si>
  <si>
    <t>Frais notaire</t>
  </si>
  <si>
    <t>capital :</t>
  </si>
  <si>
    <t>compte courant :</t>
  </si>
  <si>
    <t>Calcul BFR :</t>
  </si>
  <si>
    <t>STOCK</t>
  </si>
  <si>
    <t>- DETTES</t>
  </si>
  <si>
    <t>+ CREANCE</t>
  </si>
  <si>
    <t>= BFR</t>
  </si>
  <si>
    <r>
      <t xml:space="preserve">Tableau ammortissement du </t>
    </r>
    <r>
      <rPr>
        <sz val="11"/>
        <color rgb="FFFF0000"/>
        <rFont val="Calibri"/>
        <family val="2"/>
        <scheme val="minor"/>
      </rPr>
      <t>frais de constitution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</si>
</sst>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3">
    <xf numFmtId="0" fontId="0" fillId="0" borderId="0" xfId="0"/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0" borderId="12" xfId="0" applyBorder="1"/>
    <xf numFmtId="0" fontId="4" fillId="3" borderId="1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0" fillId="0" borderId="15" xfId="0" applyBorder="1"/>
    <xf numFmtId="0" fontId="0" fillId="0" borderId="3" xfId="0" applyBorder="1"/>
    <xf numFmtId="44" fontId="4" fillId="3" borderId="2" xfId="1" applyFont="1" applyFill="1" applyBorder="1" applyAlignment="1">
      <alignment vertical="center" wrapText="1"/>
    </xf>
    <xf numFmtId="44" fontId="4" fillId="3" borderId="4" xfId="1" applyFont="1" applyFill="1" applyBorder="1" applyAlignment="1">
      <alignment vertical="center" wrapText="1"/>
    </xf>
    <xf numFmtId="44" fontId="0" fillId="0" borderId="4" xfId="1" applyFont="1" applyBorder="1"/>
    <xf numFmtId="44" fontId="0" fillId="0" borderId="4" xfId="1" applyFont="1" applyBorder="1" applyAlignment="1">
      <alignment vertical="center" wrapText="1"/>
    </xf>
    <xf numFmtId="44" fontId="0" fillId="3" borderId="6" xfId="1" applyFont="1" applyFill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0" fontId="4" fillId="3" borderId="10" xfId="0" applyFont="1" applyFill="1" applyBorder="1" applyAlignment="1">
      <alignment vertical="center" wrapText="1"/>
    </xf>
    <xf numFmtId="44" fontId="4" fillId="3" borderId="11" xfId="1" applyFont="1" applyFill="1" applyBorder="1" applyAlignment="1">
      <alignment vertical="center" wrapText="1"/>
    </xf>
    <xf numFmtId="44" fontId="0" fillId="0" borderId="20" xfId="1" applyFont="1" applyBorder="1" applyAlignment="1">
      <alignment vertical="center" wrapText="1"/>
    </xf>
    <xf numFmtId="0" fontId="0" fillId="6" borderId="12" xfId="0" applyFill="1" applyBorder="1"/>
    <xf numFmtId="0" fontId="0" fillId="0" borderId="12" xfId="0" applyBorder="1" applyAlignment="1">
      <alignment wrapText="1"/>
    </xf>
    <xf numFmtId="10" fontId="0" fillId="0" borderId="0" xfId="0" applyNumberFormat="1"/>
    <xf numFmtId="44" fontId="0" fillId="0" borderId="12" xfId="1" applyFont="1" applyBorder="1" applyAlignment="1">
      <alignment vertical="center" wrapText="1"/>
    </xf>
    <xf numFmtId="44" fontId="0" fillId="0" borderId="21" xfId="1" applyFont="1" applyBorder="1" applyAlignment="1">
      <alignment vertical="center" wrapText="1"/>
    </xf>
    <xf numFmtId="44" fontId="0" fillId="0" borderId="6" xfId="1" applyFont="1" applyBorder="1" applyAlignment="1">
      <alignment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vertical="center" wrapText="1"/>
    </xf>
    <xf numFmtId="44" fontId="4" fillId="3" borderId="33" xfId="1" applyFont="1" applyFill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44" fontId="0" fillId="0" borderId="33" xfId="1" applyFont="1" applyBorder="1" applyAlignment="1">
      <alignment vertical="center" wrapText="1"/>
    </xf>
    <xf numFmtId="0" fontId="0" fillId="5" borderId="36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44" fontId="0" fillId="0" borderId="37" xfId="1" applyFont="1" applyBorder="1" applyAlignment="1">
      <alignment vertical="center" wrapText="1"/>
    </xf>
    <xf numFmtId="44" fontId="0" fillId="0" borderId="38" xfId="1" applyFont="1" applyBorder="1" applyAlignment="1">
      <alignment vertical="center" wrapText="1"/>
    </xf>
    <xf numFmtId="44" fontId="0" fillId="0" borderId="39" xfId="1" applyFont="1" applyBorder="1" applyAlignment="1">
      <alignment vertical="center" wrapText="1"/>
    </xf>
    <xf numFmtId="0" fontId="0" fillId="0" borderId="40" xfId="0" applyBorder="1" applyAlignment="1">
      <alignment vertical="center" wrapText="1"/>
    </xf>
    <xf numFmtId="44" fontId="0" fillId="0" borderId="22" xfId="1" applyFont="1" applyBorder="1" applyAlignment="1">
      <alignment vertical="center" wrapText="1"/>
    </xf>
    <xf numFmtId="44" fontId="0" fillId="0" borderId="41" xfId="1" applyFont="1" applyBorder="1" applyAlignment="1">
      <alignment vertical="center" wrapText="1"/>
    </xf>
    <xf numFmtId="44" fontId="0" fillId="0" borderId="0" xfId="1" applyFont="1" applyAlignment="1">
      <alignment vertical="center"/>
    </xf>
    <xf numFmtId="0" fontId="0" fillId="0" borderId="12" xfId="0" applyBorder="1" applyAlignment="1">
      <alignment vertical="center"/>
    </xf>
    <xf numFmtId="44" fontId="0" fillId="0" borderId="4" xfId="1" applyFont="1" applyBorder="1" applyAlignment="1">
      <alignment vertical="center"/>
    </xf>
    <xf numFmtId="44" fontId="0" fillId="0" borderId="14" xfId="1" applyFont="1" applyBorder="1" applyAlignment="1">
      <alignment vertical="center"/>
    </xf>
    <xf numFmtId="44" fontId="0" fillId="0" borderId="24" xfId="1" applyFont="1" applyBorder="1" applyAlignment="1">
      <alignment vertical="center"/>
    </xf>
    <xf numFmtId="44" fontId="4" fillId="0" borderId="4" xfId="1" applyFont="1" applyBorder="1" applyAlignment="1">
      <alignment vertical="center" wrapText="1"/>
    </xf>
    <xf numFmtId="0" fontId="0" fillId="0" borderId="42" xfId="0" applyBorder="1" applyAlignment="1">
      <alignment vertical="center" wrapText="1"/>
    </xf>
    <xf numFmtId="44" fontId="4" fillId="3" borderId="24" xfId="1" applyFont="1" applyFill="1" applyBorder="1" applyAlignment="1">
      <alignment vertical="center" wrapText="1"/>
    </xf>
    <xf numFmtId="44" fontId="0" fillId="0" borderId="12" xfId="1" applyFont="1" applyBorder="1"/>
    <xf numFmtId="44" fontId="0" fillId="0" borderId="24" xfId="1" applyFont="1" applyBorder="1" applyAlignment="1">
      <alignment vertical="center" wrapText="1"/>
    </xf>
    <xf numFmtId="44" fontId="4" fillId="0" borderId="24" xfId="1" applyFont="1" applyBorder="1" applyAlignment="1">
      <alignment vertical="center" wrapText="1"/>
    </xf>
    <xf numFmtId="44" fontId="4" fillId="3" borderId="32" xfId="1" applyFont="1" applyFill="1" applyBorder="1" applyAlignment="1">
      <alignment vertical="center" wrapText="1"/>
    </xf>
    <xf numFmtId="44" fontId="0" fillId="3" borderId="25" xfId="1" applyFont="1" applyFill="1" applyBorder="1" applyAlignment="1">
      <alignment vertical="center" wrapText="1"/>
    </xf>
    <xf numFmtId="0" fontId="0" fillId="3" borderId="43" xfId="0" applyFill="1" applyBorder="1" applyAlignment="1">
      <alignment vertical="center" wrapText="1"/>
    </xf>
    <xf numFmtId="44" fontId="0" fillId="3" borderId="17" xfId="1" applyFont="1" applyFill="1" applyBorder="1" applyAlignment="1">
      <alignment vertical="center" wrapText="1"/>
    </xf>
    <xf numFmtId="44" fontId="0" fillId="3" borderId="44" xfId="1" applyFont="1" applyFill="1" applyBorder="1" applyAlignment="1">
      <alignment vertical="center" wrapText="1"/>
    </xf>
    <xf numFmtId="44" fontId="4" fillId="3" borderId="23" xfId="0" applyNumberFormat="1" applyFont="1" applyFill="1" applyBorder="1" applyAlignment="1">
      <alignment vertical="center" wrapText="1"/>
    </xf>
    <xf numFmtId="0" fontId="4" fillId="3" borderId="15" xfId="0" applyFont="1" applyFill="1" applyBorder="1" applyAlignment="1">
      <alignment vertical="center" wrapText="1"/>
    </xf>
    <xf numFmtId="44" fontId="4" fillId="3" borderId="12" xfId="0" applyNumberFormat="1" applyFont="1" applyFill="1" applyBorder="1" applyAlignment="1">
      <alignment vertical="center" wrapText="1"/>
    </xf>
    <xf numFmtId="44" fontId="4" fillId="3" borderId="42" xfId="0" applyNumberFormat="1" applyFont="1" applyFill="1" applyBorder="1" applyAlignment="1">
      <alignment vertical="center" wrapText="1"/>
    </xf>
    <xf numFmtId="44" fontId="4" fillId="3" borderId="23" xfId="1" applyFont="1" applyFill="1" applyBorder="1" applyAlignment="1">
      <alignment vertical="center" wrapText="1"/>
    </xf>
    <xf numFmtId="44" fontId="0" fillId="0" borderId="12" xfId="1" applyFont="1" applyBorder="1" applyAlignment="1">
      <alignment vertical="center"/>
    </xf>
    <xf numFmtId="44" fontId="0" fillId="0" borderId="32" xfId="1" applyFont="1" applyBorder="1" applyAlignment="1">
      <alignment vertical="center" wrapText="1"/>
    </xf>
    <xf numFmtId="0" fontId="0" fillId="8" borderId="12" xfId="0" applyFill="1" applyBorder="1" applyAlignment="1">
      <alignment vertical="center" wrapText="1"/>
    </xf>
    <xf numFmtId="0" fontId="0" fillId="8" borderId="12" xfId="0" applyFill="1" applyBorder="1"/>
    <xf numFmtId="49" fontId="0" fillId="8" borderId="12" xfId="0" applyNumberFormat="1" applyFill="1" applyBorder="1"/>
    <xf numFmtId="44" fontId="0" fillId="8" borderId="12" xfId="0" applyNumberFormat="1" applyFill="1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14" xfId="1" applyFont="1" applyBorder="1" applyAlignment="1">
      <alignment horizontal="center" vertical="center"/>
    </xf>
    <xf numFmtId="0" fontId="0" fillId="10" borderId="14" xfId="0" applyFill="1" applyBorder="1" applyAlignment="1">
      <alignment horizontal="right" vertical="center"/>
    </xf>
    <xf numFmtId="0" fontId="0" fillId="10" borderId="13" xfId="0" applyFill="1" applyBorder="1" applyAlignment="1">
      <alignment horizontal="right" vertical="center"/>
    </xf>
    <xf numFmtId="0" fontId="0" fillId="0" borderId="12" xfId="0" applyBorder="1" applyAlignment="1">
      <alignment horizontal="center"/>
    </xf>
    <xf numFmtId="0" fontId="0" fillId="11" borderId="12" xfId="0" applyFill="1" applyBorder="1"/>
    <xf numFmtId="9" fontId="0" fillId="10" borderId="12" xfId="0" applyNumberFormat="1" applyFill="1" applyBorder="1" applyAlignment="1">
      <alignment horizontal="center" vertical="center"/>
    </xf>
    <xf numFmtId="0" fontId="0" fillId="10" borderId="42" xfId="0" applyFill="1" applyBorder="1" applyAlignment="1">
      <alignment vertical="center"/>
    </xf>
    <xf numFmtId="0" fontId="0" fillId="10" borderId="39" xfId="0" applyFill="1" applyBorder="1" applyAlignment="1">
      <alignment vertical="center"/>
    </xf>
    <xf numFmtId="0" fontId="0" fillId="11" borderId="14" xfId="0" applyFill="1" applyBorder="1" applyAlignment="1">
      <alignment horizontal="right" vertical="center"/>
    </xf>
    <xf numFmtId="0" fontId="0" fillId="11" borderId="42" xfId="0" applyFill="1" applyBorder="1" applyAlignment="1">
      <alignment vertical="center"/>
    </xf>
    <xf numFmtId="0" fontId="0" fillId="6" borderId="45" xfId="0" applyFill="1" applyBorder="1"/>
    <xf numFmtId="44" fontId="0" fillId="6" borderId="13" xfId="1" applyFont="1" applyFill="1" applyBorder="1" applyAlignment="1">
      <alignment horizontal="center" vertical="center"/>
    </xf>
    <xf numFmtId="44" fontId="0" fillId="6" borderId="14" xfId="1" applyFont="1" applyFill="1" applyBorder="1" applyAlignment="1">
      <alignment horizontal="center" vertical="center"/>
    </xf>
    <xf numFmtId="0" fontId="5" fillId="0" borderId="0" xfId="0" applyFont="1"/>
    <xf numFmtId="0" fontId="5" fillId="12" borderId="14" xfId="0" applyFont="1" applyFill="1" applyBorder="1" applyAlignment="1">
      <alignment horizontal="center"/>
    </xf>
    <xf numFmtId="0" fontId="5" fillId="12" borderId="42" xfId="0" applyFont="1" applyFill="1" applyBorder="1" applyAlignment="1">
      <alignment horizontal="center"/>
    </xf>
    <xf numFmtId="44" fontId="0" fillId="0" borderId="46" xfId="1" applyFont="1" applyBorder="1" applyAlignment="1">
      <alignment vertical="center" wrapText="1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44" fontId="0" fillId="0" borderId="47" xfId="1" applyFont="1" applyBorder="1" applyAlignment="1">
      <alignment vertical="center" wrapText="1"/>
    </xf>
    <xf numFmtId="0" fontId="0" fillId="0" borderId="48" xfId="0" applyBorder="1" applyAlignment="1">
      <alignment vertical="center" wrapText="1"/>
    </xf>
    <xf numFmtId="44" fontId="0" fillId="0" borderId="49" xfId="1" applyFont="1" applyBorder="1" applyAlignment="1">
      <alignment vertical="center" wrapText="1"/>
    </xf>
    <xf numFmtId="0" fontId="0" fillId="0" borderId="50" xfId="0" applyBorder="1" applyAlignment="1">
      <alignment vertical="center" wrapText="1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E400-25F5-455A-8A8B-D37B04D16FB3}">
  <dimension ref="B1:F16"/>
  <sheetViews>
    <sheetView workbookViewId="0">
      <selection activeCell="E8" sqref="E8"/>
    </sheetView>
  </sheetViews>
  <sheetFormatPr baseColWidth="10" defaultRowHeight="14.5" x14ac:dyDescent="0.35"/>
  <cols>
    <col min="2" max="2" width="20.1796875" bestFit="1" customWidth="1"/>
    <col min="3" max="3" width="11.453125" bestFit="1" customWidth="1"/>
    <col min="4" max="4" width="8.6328125" style="89" customWidth="1"/>
    <col min="7" max="7" width="10.90625" customWidth="1"/>
  </cols>
  <sheetData>
    <row r="1" spans="2:6" x14ac:dyDescent="0.35">
      <c r="B1" s="9"/>
      <c r="C1" s="9" t="s">
        <v>37</v>
      </c>
      <c r="D1" s="93" t="s">
        <v>12</v>
      </c>
      <c r="E1" s="93"/>
      <c r="F1" s="9" t="s">
        <v>38</v>
      </c>
    </row>
    <row r="2" spans="2:6" x14ac:dyDescent="0.35">
      <c r="B2" s="100" t="s">
        <v>77</v>
      </c>
      <c r="C2" s="101">
        <v>30000</v>
      </c>
      <c r="D2" s="92"/>
      <c r="E2" s="97"/>
      <c r="F2" s="94"/>
    </row>
    <row r="3" spans="2:6" ht="15" customHeight="1" x14ac:dyDescent="0.35">
      <c r="B3" s="27" t="s">
        <v>90</v>
      </c>
      <c r="C3" s="102">
        <v>3300</v>
      </c>
      <c r="D3" s="91">
        <v>3</v>
      </c>
      <c r="E3" s="96" t="s">
        <v>78</v>
      </c>
      <c r="F3" s="94"/>
    </row>
    <row r="4" spans="2:6" x14ac:dyDescent="0.35">
      <c r="B4" s="27" t="s">
        <v>79</v>
      </c>
      <c r="C4" s="102">
        <v>6450</v>
      </c>
      <c r="D4" s="91">
        <v>10</v>
      </c>
      <c r="E4" s="96" t="s">
        <v>78</v>
      </c>
      <c r="F4" s="94"/>
    </row>
    <row r="5" spans="2:6" ht="14.5" customHeight="1" x14ac:dyDescent="0.35">
      <c r="B5" s="27" t="s">
        <v>80</v>
      </c>
      <c r="C5" s="102">
        <v>3150</v>
      </c>
      <c r="D5" s="91"/>
      <c r="E5" s="96" t="s">
        <v>78</v>
      </c>
      <c r="F5" s="94"/>
    </row>
    <row r="6" spans="2:6" x14ac:dyDescent="0.35">
      <c r="B6" s="9" t="s">
        <v>24</v>
      </c>
      <c r="C6" s="90" t="s">
        <v>82</v>
      </c>
      <c r="D6" s="91">
        <v>30</v>
      </c>
      <c r="E6" s="96" t="s">
        <v>81</v>
      </c>
      <c r="F6" s="94"/>
    </row>
    <row r="7" spans="2:6" x14ac:dyDescent="0.35">
      <c r="B7" s="9" t="s">
        <v>25</v>
      </c>
      <c r="C7" s="90" t="s">
        <v>82</v>
      </c>
      <c r="D7" s="91">
        <v>15</v>
      </c>
      <c r="E7" s="96" t="s">
        <v>81</v>
      </c>
      <c r="F7" s="94"/>
    </row>
    <row r="8" spans="2:6" x14ac:dyDescent="0.35">
      <c r="B8" s="9" t="s">
        <v>30</v>
      </c>
      <c r="C8" s="90" t="s">
        <v>82</v>
      </c>
      <c r="D8" s="91">
        <v>30</v>
      </c>
      <c r="E8" s="96" t="s">
        <v>81</v>
      </c>
      <c r="F8" s="94"/>
    </row>
    <row r="9" spans="2:6" x14ac:dyDescent="0.35">
      <c r="B9" s="27" t="s">
        <v>83</v>
      </c>
      <c r="C9" s="102">
        <v>7500</v>
      </c>
      <c r="D9" s="98"/>
      <c r="E9" s="99"/>
      <c r="F9" s="94"/>
    </row>
    <row r="10" spans="2:6" x14ac:dyDescent="0.35">
      <c r="B10" s="27" t="s">
        <v>84</v>
      </c>
      <c r="C10" s="102">
        <v>10000</v>
      </c>
      <c r="D10" s="98"/>
      <c r="E10" s="99"/>
      <c r="F10" s="94"/>
    </row>
    <row r="11" spans="2:6" x14ac:dyDescent="0.35">
      <c r="B11" s="27" t="s">
        <v>26</v>
      </c>
      <c r="C11" s="102">
        <v>45000</v>
      </c>
      <c r="D11" s="91">
        <v>5</v>
      </c>
      <c r="E11" s="96" t="s">
        <v>78</v>
      </c>
      <c r="F11" s="95">
        <v>0.02</v>
      </c>
    </row>
    <row r="12" spans="2:6" x14ac:dyDescent="0.35">
      <c r="B12" s="27" t="s">
        <v>85</v>
      </c>
      <c r="C12" s="102">
        <v>4000</v>
      </c>
      <c r="D12" s="91">
        <v>4</v>
      </c>
      <c r="E12" s="96" t="s">
        <v>78</v>
      </c>
      <c r="F12" s="94"/>
    </row>
    <row r="13" spans="2:6" x14ac:dyDescent="0.35">
      <c r="B13" s="9" t="s">
        <v>27</v>
      </c>
      <c r="C13" s="90">
        <v>8790</v>
      </c>
      <c r="D13" s="91"/>
      <c r="E13" s="96"/>
      <c r="F13" s="95">
        <v>0.4</v>
      </c>
    </row>
    <row r="14" spans="2:6" x14ac:dyDescent="0.35">
      <c r="B14" s="9" t="s">
        <v>28</v>
      </c>
      <c r="C14" s="90">
        <v>9054</v>
      </c>
      <c r="D14" s="91"/>
      <c r="E14" s="96" t="s">
        <v>78</v>
      </c>
      <c r="F14" s="95">
        <v>0.4</v>
      </c>
    </row>
    <row r="15" spans="2:6" x14ac:dyDescent="0.35">
      <c r="B15" s="28" t="s">
        <v>86</v>
      </c>
      <c r="C15" s="90">
        <v>1000</v>
      </c>
      <c r="D15" s="98"/>
      <c r="E15" s="99"/>
      <c r="F15" s="94"/>
    </row>
    <row r="16" spans="2:6" x14ac:dyDescent="0.35">
      <c r="B16" s="28" t="s">
        <v>87</v>
      </c>
      <c r="C16" s="90">
        <v>1200</v>
      </c>
      <c r="D16" s="98"/>
      <c r="E16" s="99"/>
      <c r="F16" s="94"/>
    </row>
  </sheetData>
  <mergeCells count="1">
    <mergeCell ref="D1:E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D293-C20C-4E6E-A7B7-C1D113171D57}">
  <dimension ref="C2:F23"/>
  <sheetViews>
    <sheetView topLeftCell="A4" workbookViewId="0">
      <selection activeCell="D21" sqref="D21"/>
    </sheetView>
  </sheetViews>
  <sheetFormatPr baseColWidth="10" defaultRowHeight="14.5" x14ac:dyDescent="0.35"/>
  <cols>
    <col min="3" max="3" width="19" bestFit="1" customWidth="1"/>
    <col min="4" max="4" width="12.08984375" bestFit="1" customWidth="1"/>
    <col min="5" max="5" width="20.1796875" bestFit="1" customWidth="1"/>
    <col min="6" max="6" width="12.08984375" bestFit="1" customWidth="1"/>
  </cols>
  <sheetData>
    <row r="2" spans="3:6" ht="15" thickBot="1" x14ac:dyDescent="0.4"/>
    <row r="3" spans="3:6" ht="15" thickBot="1" x14ac:dyDescent="0.4">
      <c r="C3" s="74" t="s">
        <v>1</v>
      </c>
      <c r="D3" s="75"/>
      <c r="E3" s="75" t="s">
        <v>2</v>
      </c>
      <c r="F3" s="76"/>
    </row>
    <row r="4" spans="3:6" ht="29" x14ac:dyDescent="0.35">
      <c r="C4" s="10" t="s">
        <v>3</v>
      </c>
      <c r="D4" s="14">
        <f>D5+D6</f>
        <v>33300</v>
      </c>
      <c r="E4" s="10" t="s">
        <v>4</v>
      </c>
      <c r="F4" s="14">
        <f>F5+F6</f>
        <v>17500</v>
      </c>
    </row>
    <row r="5" spans="3:6" x14ac:dyDescent="0.35">
      <c r="C5" s="6" t="str">
        <f>'Données Exercice'!B2</f>
        <v>Rachat droit de bail</v>
      </c>
      <c r="D5" s="22">
        <f>'Données Exercice'!C2</f>
        <v>30000</v>
      </c>
      <c r="E5" s="13" t="s">
        <v>91</v>
      </c>
      <c r="F5" s="16">
        <f>'Données Exercice'!C9</f>
        <v>7500</v>
      </c>
    </row>
    <row r="6" spans="3:6" x14ac:dyDescent="0.35">
      <c r="C6" s="6" t="s">
        <v>89</v>
      </c>
      <c r="D6" s="23">
        <f>'Données Exercice'!C3</f>
        <v>3300</v>
      </c>
      <c r="E6" s="13" t="s">
        <v>92</v>
      </c>
      <c r="F6" s="16">
        <f>'Données Exercice'!C10</f>
        <v>10000</v>
      </c>
    </row>
    <row r="7" spans="3:6" ht="29" x14ac:dyDescent="0.35">
      <c r="C7" s="11" t="s">
        <v>5</v>
      </c>
      <c r="D7" s="15">
        <f>D8+D9+D10</f>
        <v>9600</v>
      </c>
      <c r="E7" s="11" t="s">
        <v>6</v>
      </c>
      <c r="F7" s="15">
        <f>F8</f>
        <v>45000</v>
      </c>
    </row>
    <row r="8" spans="3:6" x14ac:dyDescent="0.35">
      <c r="C8" s="12" t="s">
        <v>17</v>
      </c>
      <c r="D8" s="23">
        <f>'Données Exercice'!C5</f>
        <v>3150</v>
      </c>
      <c r="E8" s="1" t="s">
        <v>88</v>
      </c>
      <c r="F8" s="17">
        <f>'Données Exercice'!C11</f>
        <v>45000</v>
      </c>
    </row>
    <row r="9" spans="3:6" x14ac:dyDescent="0.35">
      <c r="C9" s="1" t="s">
        <v>29</v>
      </c>
      <c r="D9" s="17">
        <v>0</v>
      </c>
      <c r="E9" s="1" t="str">
        <f>'Données Exercice'!B12</f>
        <v>Prêt d'honneur BULTZA</v>
      </c>
      <c r="F9" s="17">
        <f>'Données Exercice'!C12</f>
        <v>4000</v>
      </c>
    </row>
    <row r="10" spans="3:6" x14ac:dyDescent="0.35">
      <c r="C10" s="1" t="s">
        <v>18</v>
      </c>
      <c r="D10" s="17">
        <f>'Données Exercice'!C4</f>
        <v>6450</v>
      </c>
      <c r="E10" s="1"/>
      <c r="F10" s="17"/>
    </row>
    <row r="11" spans="3:6" x14ac:dyDescent="0.35">
      <c r="C11" s="11" t="s">
        <v>0</v>
      </c>
      <c r="D11" s="15"/>
      <c r="E11" s="1"/>
      <c r="F11" s="17"/>
    </row>
    <row r="12" spans="3:6" x14ac:dyDescent="0.35">
      <c r="C12" s="1" t="s">
        <v>19</v>
      </c>
      <c r="D12" s="17"/>
      <c r="E12" s="1"/>
      <c r="F12" s="17"/>
    </row>
    <row r="13" spans="3:6" x14ac:dyDescent="0.35">
      <c r="C13" s="1" t="s">
        <v>31</v>
      </c>
      <c r="D13" s="17"/>
      <c r="E13" s="1"/>
      <c r="F13" s="17"/>
    </row>
    <row r="14" spans="3:6" x14ac:dyDescent="0.35">
      <c r="C14" s="1" t="s">
        <v>32</v>
      </c>
      <c r="D14" s="17"/>
      <c r="E14" s="1"/>
      <c r="F14" s="17"/>
    </row>
    <row r="15" spans="3:6" x14ac:dyDescent="0.35">
      <c r="C15" s="11" t="s">
        <v>7</v>
      </c>
      <c r="D15" s="15"/>
      <c r="E15" s="1"/>
      <c r="F15" s="17"/>
    </row>
    <row r="16" spans="3:6" ht="15" thickBot="1" x14ac:dyDescent="0.4">
      <c r="C16" s="8" t="s">
        <v>8</v>
      </c>
      <c r="D16" s="18"/>
      <c r="E16" s="8" t="s">
        <v>9</v>
      </c>
      <c r="F16" s="18"/>
    </row>
    <row r="19" spans="3:5" x14ac:dyDescent="0.35">
      <c r="C19" s="104" t="s">
        <v>93</v>
      </c>
      <c r="D19" s="105"/>
      <c r="E19" s="103"/>
    </row>
    <row r="20" spans="3:5" x14ac:dyDescent="0.35">
      <c r="C20" s="71" t="s">
        <v>94</v>
      </c>
      <c r="D20" s="71">
        <f>165000*0.57*'Données Exercice'!D6/365</f>
        <v>7730.1369863013688</v>
      </c>
    </row>
    <row r="21" spans="3:5" x14ac:dyDescent="0.35">
      <c r="C21" s="72" t="s">
        <v>96</v>
      </c>
      <c r="D21" s="71"/>
    </row>
    <row r="22" spans="3:5" x14ac:dyDescent="0.35">
      <c r="C22" s="72" t="s">
        <v>95</v>
      </c>
      <c r="D22" s="71">
        <f>165000*1.2*15/365</f>
        <v>8136.9863013698632</v>
      </c>
    </row>
    <row r="23" spans="3:5" x14ac:dyDescent="0.35">
      <c r="C23" s="72" t="s">
        <v>97</v>
      </c>
      <c r="D23" s="71">
        <f>D20+D21-D22</f>
        <v>-406.84931506849443</v>
      </c>
    </row>
  </sheetData>
  <mergeCells count="3">
    <mergeCell ref="C3:D3"/>
    <mergeCell ref="E3:F3"/>
    <mergeCell ref="C19:D19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F042-7367-478A-BA58-44F2B4551FCA}">
  <dimension ref="B1:L21"/>
  <sheetViews>
    <sheetView tabSelected="1" workbookViewId="0">
      <selection activeCell="N8" sqref="N8"/>
    </sheetView>
  </sheetViews>
  <sheetFormatPr baseColWidth="10" defaultRowHeight="14.5" x14ac:dyDescent="0.35"/>
  <cols>
    <col min="3" max="6" width="11.08984375" bestFit="1" customWidth="1"/>
  </cols>
  <sheetData>
    <row r="1" spans="2:12" ht="15" thickBot="1" x14ac:dyDescent="0.4"/>
    <row r="2" spans="2:12" ht="15" customHeight="1" thickBot="1" x14ac:dyDescent="0.4">
      <c r="B2" s="77" t="s">
        <v>98</v>
      </c>
      <c r="C2" s="78"/>
      <c r="D2" s="78"/>
      <c r="E2" s="78"/>
      <c r="F2" s="79"/>
      <c r="H2" s="80" t="s">
        <v>34</v>
      </c>
      <c r="I2" s="81"/>
      <c r="J2" s="81"/>
      <c r="K2" s="81"/>
      <c r="L2" s="82"/>
    </row>
    <row r="3" spans="2:12" ht="29.5" thickBot="1" x14ac:dyDescent="0.4">
      <c r="B3" s="20" t="s">
        <v>16</v>
      </c>
      <c r="C3" s="21" t="s">
        <v>22</v>
      </c>
      <c r="D3" s="21" t="s">
        <v>20</v>
      </c>
      <c r="E3" s="21" t="s">
        <v>21</v>
      </c>
      <c r="F3" s="21" t="s">
        <v>23</v>
      </c>
      <c r="H3" s="38" t="s">
        <v>16</v>
      </c>
      <c r="I3" s="21" t="s">
        <v>22</v>
      </c>
      <c r="J3" s="21" t="s">
        <v>20</v>
      </c>
      <c r="K3" s="21" t="s">
        <v>21</v>
      </c>
      <c r="L3" s="39" t="s">
        <v>23</v>
      </c>
    </row>
    <row r="4" spans="2:12" ht="15" thickBot="1" x14ac:dyDescent="0.4">
      <c r="B4" s="110">
        <v>2019</v>
      </c>
      <c r="C4" s="111">
        <v>3300</v>
      </c>
      <c r="D4" s="111">
        <f>$C$4/3</f>
        <v>1100</v>
      </c>
      <c r="E4" s="111">
        <f>D4</f>
        <v>1100</v>
      </c>
      <c r="F4" s="111">
        <f>C4-E4</f>
        <v>2200</v>
      </c>
      <c r="H4" s="40">
        <v>2019</v>
      </c>
      <c r="I4" s="26"/>
      <c r="J4" s="26"/>
      <c r="K4" s="26"/>
      <c r="L4" s="41"/>
    </row>
    <row r="5" spans="2:12" ht="15" thickBot="1" x14ac:dyDescent="0.4">
      <c r="B5" s="112">
        <v>2020</v>
      </c>
      <c r="C5" s="109">
        <f>F4</f>
        <v>2200</v>
      </c>
      <c r="D5" s="106">
        <f t="shared" ref="D5:D6" si="0">$C$4/3</f>
        <v>1100</v>
      </c>
      <c r="E5" s="109">
        <f>E4+D5</f>
        <v>2200</v>
      </c>
      <c r="F5" s="109">
        <f>C4-E5</f>
        <v>1100</v>
      </c>
      <c r="H5" s="40">
        <v>2020</v>
      </c>
      <c r="I5" s="26"/>
      <c r="J5" s="26"/>
      <c r="K5" s="26"/>
      <c r="L5" s="41"/>
    </row>
    <row r="6" spans="2:12" ht="15" thickBot="1" x14ac:dyDescent="0.4">
      <c r="B6" s="19">
        <v>2021</v>
      </c>
      <c r="C6" s="26">
        <f>F5</f>
        <v>1100</v>
      </c>
      <c r="D6" s="26">
        <f t="shared" si="0"/>
        <v>1100</v>
      </c>
      <c r="E6" s="26">
        <f>D6</f>
        <v>1100</v>
      </c>
      <c r="F6" s="26">
        <f>C6-E6</f>
        <v>0</v>
      </c>
      <c r="H6" s="40">
        <v>2021</v>
      </c>
      <c r="I6" s="26"/>
      <c r="J6" s="26"/>
      <c r="K6" s="26"/>
      <c r="L6" s="41"/>
    </row>
    <row r="7" spans="2:12" ht="15" thickBot="1" x14ac:dyDescent="0.4">
      <c r="B7" s="107"/>
      <c r="C7" s="108"/>
      <c r="D7" s="108"/>
      <c r="E7" s="108"/>
      <c r="F7" s="108"/>
      <c r="H7" s="40">
        <v>2022</v>
      </c>
      <c r="I7" s="26"/>
      <c r="J7" s="26"/>
      <c r="K7" s="26"/>
      <c r="L7" s="41"/>
    </row>
    <row r="8" spans="2:12" x14ac:dyDescent="0.35">
      <c r="B8" s="107"/>
      <c r="C8" s="108"/>
      <c r="D8" s="108"/>
      <c r="E8" s="108"/>
      <c r="F8" s="108"/>
      <c r="H8" s="7">
        <v>2023</v>
      </c>
      <c r="I8" s="42"/>
      <c r="J8" s="42"/>
      <c r="K8" s="42"/>
      <c r="L8" s="43"/>
    </row>
    <row r="9" spans="2:12" ht="15" thickBot="1" x14ac:dyDescent="0.4"/>
    <row r="10" spans="2:12" ht="15" customHeight="1" thickBot="1" x14ac:dyDescent="0.4">
      <c r="B10" s="77" t="s">
        <v>33</v>
      </c>
      <c r="C10" s="78"/>
      <c r="D10" s="78"/>
      <c r="E10" s="78"/>
      <c r="F10" s="79"/>
      <c r="H10" s="77" t="s">
        <v>35</v>
      </c>
      <c r="I10" s="78"/>
      <c r="J10" s="78"/>
      <c r="K10" s="78"/>
      <c r="L10" s="79"/>
    </row>
    <row r="11" spans="2:12" ht="29.5" thickBot="1" x14ac:dyDescent="0.4">
      <c r="B11" s="20" t="s">
        <v>16</v>
      </c>
      <c r="C11" s="21" t="s">
        <v>22</v>
      </c>
      <c r="D11" s="21" t="s">
        <v>20</v>
      </c>
      <c r="E11" s="21" t="s">
        <v>21</v>
      </c>
      <c r="F11" s="21" t="s">
        <v>23</v>
      </c>
      <c r="H11" s="20" t="s">
        <v>16</v>
      </c>
      <c r="I11" s="21" t="s">
        <v>22</v>
      </c>
      <c r="J11" s="21" t="s">
        <v>20</v>
      </c>
      <c r="K11" s="21" t="s">
        <v>21</v>
      </c>
      <c r="L11" s="21" t="s">
        <v>23</v>
      </c>
    </row>
    <row r="12" spans="2:12" ht="15" thickBot="1" x14ac:dyDescent="0.4">
      <c r="B12" s="19">
        <v>2019</v>
      </c>
      <c r="C12" s="26"/>
      <c r="D12" s="26"/>
      <c r="E12" s="26"/>
      <c r="F12" s="26"/>
      <c r="H12" s="19">
        <v>2019</v>
      </c>
      <c r="I12" s="26"/>
      <c r="J12" s="26"/>
      <c r="K12" s="26"/>
      <c r="L12" s="26"/>
    </row>
    <row r="13" spans="2:12" ht="15" thickBot="1" x14ac:dyDescent="0.4">
      <c r="B13" s="19">
        <v>2020</v>
      </c>
      <c r="C13" s="26"/>
      <c r="D13" s="26"/>
      <c r="E13" s="26"/>
      <c r="F13" s="26"/>
      <c r="H13" s="19">
        <v>2020</v>
      </c>
      <c r="I13" s="26"/>
      <c r="J13" s="26"/>
      <c r="K13" s="26"/>
      <c r="L13" s="26"/>
    </row>
    <row r="14" spans="2:12" ht="15" thickBot="1" x14ac:dyDescent="0.4">
      <c r="B14" s="19">
        <v>2021</v>
      </c>
      <c r="C14" s="26"/>
      <c r="D14" s="26"/>
      <c r="E14" s="26"/>
      <c r="F14" s="26"/>
      <c r="H14" s="19">
        <v>2021</v>
      </c>
      <c r="I14" s="26"/>
      <c r="J14" s="26"/>
      <c r="K14" s="26"/>
      <c r="L14" s="26"/>
    </row>
    <row r="15" spans="2:12" ht="15" thickBot="1" x14ac:dyDescent="0.4">
      <c r="B15" s="19">
        <v>2022</v>
      </c>
      <c r="C15" s="26"/>
      <c r="D15" s="26"/>
      <c r="E15" s="26"/>
      <c r="F15" s="26"/>
      <c r="H15" s="19">
        <v>2022</v>
      </c>
      <c r="I15" s="26"/>
      <c r="J15" s="26"/>
      <c r="K15" s="26"/>
      <c r="L15" s="26"/>
    </row>
    <row r="16" spans="2:12" ht="15" thickBot="1" x14ac:dyDescent="0.4">
      <c r="B16" s="19">
        <v>2023</v>
      </c>
      <c r="C16" s="26"/>
      <c r="D16" s="26"/>
      <c r="E16" s="26"/>
      <c r="F16" s="26"/>
      <c r="H16" s="19">
        <v>2023</v>
      </c>
      <c r="I16" s="26"/>
      <c r="J16" s="26"/>
      <c r="K16" s="26"/>
      <c r="L16" s="26"/>
    </row>
    <row r="17" spans="2:6" ht="15" thickBot="1" x14ac:dyDescent="0.4">
      <c r="B17" s="19">
        <v>2024</v>
      </c>
      <c r="C17" s="26"/>
      <c r="D17" s="26"/>
      <c r="E17" s="26"/>
      <c r="F17" s="26"/>
    </row>
    <row r="18" spans="2:6" ht="15" thickBot="1" x14ac:dyDescent="0.4">
      <c r="B18" s="19">
        <v>2025</v>
      </c>
      <c r="C18" s="26"/>
      <c r="D18" s="26"/>
      <c r="E18" s="26"/>
      <c r="F18" s="26"/>
    </row>
    <row r="19" spans="2:6" ht="15" thickBot="1" x14ac:dyDescent="0.4">
      <c r="B19" s="19">
        <v>2026</v>
      </c>
      <c r="C19" s="26"/>
      <c r="D19" s="26"/>
      <c r="E19" s="26"/>
      <c r="F19" s="26"/>
    </row>
    <row r="20" spans="2:6" ht="15" thickBot="1" x14ac:dyDescent="0.4">
      <c r="B20" s="19">
        <v>2027</v>
      </c>
      <c r="C20" s="26"/>
      <c r="D20" s="26"/>
      <c r="E20" s="26"/>
      <c r="F20" s="26"/>
    </row>
    <row r="21" spans="2:6" ht="15" thickBot="1" x14ac:dyDescent="0.4">
      <c r="B21" s="19">
        <v>2028</v>
      </c>
      <c r="C21" s="26"/>
      <c r="D21" s="26"/>
      <c r="E21" s="26"/>
      <c r="F21" s="26"/>
    </row>
  </sheetData>
  <mergeCells count="4">
    <mergeCell ref="B2:F2"/>
    <mergeCell ref="B10:F10"/>
    <mergeCell ref="H2:L2"/>
    <mergeCell ref="H10:L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5847-7087-4D4B-A9A5-B0B801B44FC6}">
  <dimension ref="B1:J86"/>
  <sheetViews>
    <sheetView workbookViewId="0">
      <selection activeCell="C3" sqref="C3:G86"/>
    </sheetView>
  </sheetViews>
  <sheetFormatPr baseColWidth="10" defaultRowHeight="14.5" x14ac:dyDescent="0.35"/>
  <cols>
    <col min="3" max="3" width="11.08984375" bestFit="1" customWidth="1"/>
    <col min="4" max="6" width="11" bestFit="1" customWidth="1"/>
    <col min="7" max="7" width="11.08984375" bestFit="1" customWidth="1"/>
  </cols>
  <sheetData>
    <row r="1" spans="2:10" ht="15" thickBot="1" x14ac:dyDescent="0.4"/>
    <row r="2" spans="2:10" ht="29.5" thickBot="1" x14ac:dyDescent="0.4">
      <c r="B2" s="3" t="s">
        <v>14</v>
      </c>
      <c r="C2" s="3" t="s">
        <v>10</v>
      </c>
      <c r="D2" s="4" t="s">
        <v>11</v>
      </c>
      <c r="E2" s="4" t="s">
        <v>12</v>
      </c>
      <c r="F2" s="5" t="s">
        <v>13</v>
      </c>
      <c r="G2" s="5" t="s">
        <v>15</v>
      </c>
    </row>
    <row r="3" spans="2:10" x14ac:dyDescent="0.35">
      <c r="B3" s="44">
        <v>1</v>
      </c>
      <c r="C3" s="45"/>
      <c r="D3" s="45"/>
      <c r="E3" s="45"/>
      <c r="F3" s="45"/>
      <c r="G3" s="46"/>
    </row>
    <row r="4" spans="2:10" x14ac:dyDescent="0.35">
      <c r="B4" s="1">
        <v>2</v>
      </c>
      <c r="C4" s="30"/>
      <c r="D4" s="30"/>
      <c r="E4" s="30"/>
      <c r="F4" s="30"/>
      <c r="G4" s="17"/>
      <c r="I4" t="s">
        <v>36</v>
      </c>
      <c r="J4" s="29">
        <f>'Données Exercice'!C16/12</f>
        <v>100</v>
      </c>
    </row>
    <row r="5" spans="2:10" x14ac:dyDescent="0.35">
      <c r="B5" s="1">
        <v>3</v>
      </c>
      <c r="C5" s="30"/>
      <c r="D5" s="30"/>
      <c r="E5" s="30"/>
      <c r="F5" s="30"/>
      <c r="G5" s="17"/>
    </row>
    <row r="6" spans="2:10" x14ac:dyDescent="0.35">
      <c r="B6" s="1">
        <v>4</v>
      </c>
      <c r="C6" s="30"/>
      <c r="D6" s="30"/>
      <c r="E6" s="30"/>
      <c r="F6" s="30"/>
      <c r="G6" s="17"/>
    </row>
    <row r="7" spans="2:10" x14ac:dyDescent="0.35">
      <c r="B7" s="1">
        <v>5</v>
      </c>
      <c r="C7" s="30"/>
      <c r="D7" s="30"/>
      <c r="E7" s="30"/>
      <c r="F7" s="30"/>
      <c r="G7" s="17"/>
    </row>
    <row r="8" spans="2:10" x14ac:dyDescent="0.35">
      <c r="B8" s="1">
        <v>6</v>
      </c>
      <c r="C8" s="30"/>
      <c r="D8" s="30"/>
      <c r="E8" s="30"/>
      <c r="F8" s="30"/>
      <c r="G8" s="17"/>
    </row>
    <row r="9" spans="2:10" x14ac:dyDescent="0.35">
      <c r="B9" s="1">
        <v>7</v>
      </c>
      <c r="C9" s="30"/>
      <c r="D9" s="30"/>
      <c r="E9" s="30"/>
      <c r="F9" s="30"/>
      <c r="G9" s="17"/>
    </row>
    <row r="10" spans="2:10" x14ac:dyDescent="0.35">
      <c r="B10" s="1">
        <v>8</v>
      </c>
      <c r="C10" s="30"/>
      <c r="D10" s="30"/>
      <c r="E10" s="30"/>
      <c r="F10" s="30"/>
      <c r="G10" s="17"/>
    </row>
    <row r="11" spans="2:10" x14ac:dyDescent="0.35">
      <c r="B11" s="1">
        <v>9</v>
      </c>
      <c r="C11" s="30"/>
      <c r="D11" s="30"/>
      <c r="E11" s="30"/>
      <c r="F11" s="30"/>
      <c r="G11" s="17"/>
    </row>
    <row r="12" spans="2:10" x14ac:dyDescent="0.35">
      <c r="B12" s="1">
        <v>10</v>
      </c>
      <c r="C12" s="30"/>
      <c r="D12" s="30"/>
      <c r="E12" s="30"/>
      <c r="F12" s="30"/>
      <c r="G12" s="17"/>
    </row>
    <row r="13" spans="2:10" x14ac:dyDescent="0.35">
      <c r="B13" s="1">
        <v>11</v>
      </c>
      <c r="C13" s="30"/>
      <c r="D13" s="30"/>
      <c r="E13" s="30"/>
      <c r="F13" s="30"/>
      <c r="G13" s="17"/>
    </row>
    <row r="14" spans="2:10" x14ac:dyDescent="0.35">
      <c r="B14" s="1">
        <v>12</v>
      </c>
      <c r="C14" s="30"/>
      <c r="D14" s="30"/>
      <c r="E14" s="30"/>
      <c r="F14" s="30"/>
      <c r="G14" s="17"/>
    </row>
    <row r="15" spans="2:10" x14ac:dyDescent="0.35">
      <c r="B15" s="1">
        <v>13</v>
      </c>
      <c r="C15" s="30"/>
      <c r="D15" s="30"/>
      <c r="E15" s="30"/>
      <c r="F15" s="30"/>
      <c r="G15" s="17"/>
    </row>
    <row r="16" spans="2:10" x14ac:dyDescent="0.35">
      <c r="B16" s="1">
        <v>14</v>
      </c>
      <c r="C16" s="30"/>
      <c r="D16" s="30"/>
      <c r="E16" s="30"/>
      <c r="F16" s="30"/>
      <c r="G16" s="17"/>
    </row>
    <row r="17" spans="2:7" x14ac:dyDescent="0.35">
      <c r="B17" s="1">
        <v>15</v>
      </c>
      <c r="C17" s="30"/>
      <c r="D17" s="30"/>
      <c r="E17" s="30"/>
      <c r="F17" s="30"/>
      <c r="G17" s="17"/>
    </row>
    <row r="18" spans="2:7" x14ac:dyDescent="0.35">
      <c r="B18" s="1">
        <v>16</v>
      </c>
      <c r="C18" s="30"/>
      <c r="D18" s="30"/>
      <c r="E18" s="30"/>
      <c r="F18" s="30"/>
      <c r="G18" s="17"/>
    </row>
    <row r="19" spans="2:7" x14ac:dyDescent="0.35">
      <c r="B19" s="1">
        <v>17</v>
      </c>
      <c r="C19" s="30"/>
      <c r="D19" s="30"/>
      <c r="E19" s="30"/>
      <c r="F19" s="30"/>
      <c r="G19" s="17"/>
    </row>
    <row r="20" spans="2:7" x14ac:dyDescent="0.35">
      <c r="B20" s="1">
        <v>18</v>
      </c>
      <c r="C20" s="30"/>
      <c r="D20" s="30"/>
      <c r="E20" s="30"/>
      <c r="F20" s="30"/>
      <c r="G20" s="17"/>
    </row>
    <row r="21" spans="2:7" x14ac:dyDescent="0.35">
      <c r="B21" s="1">
        <v>19</v>
      </c>
      <c r="C21" s="30"/>
      <c r="D21" s="30"/>
      <c r="E21" s="30"/>
      <c r="F21" s="30"/>
      <c r="G21" s="17"/>
    </row>
    <row r="22" spans="2:7" x14ac:dyDescent="0.35">
      <c r="B22" s="1">
        <v>20</v>
      </c>
      <c r="C22" s="30"/>
      <c r="D22" s="30"/>
      <c r="E22" s="30"/>
      <c r="F22" s="30"/>
      <c r="G22" s="17"/>
    </row>
    <row r="23" spans="2:7" x14ac:dyDescent="0.35">
      <c r="B23" s="1">
        <v>21</v>
      </c>
      <c r="C23" s="30"/>
      <c r="D23" s="30"/>
      <c r="E23" s="30"/>
      <c r="F23" s="30"/>
      <c r="G23" s="17"/>
    </row>
    <row r="24" spans="2:7" x14ac:dyDescent="0.35">
      <c r="B24" s="1">
        <v>22</v>
      </c>
      <c r="C24" s="30"/>
      <c r="D24" s="30"/>
      <c r="E24" s="30"/>
      <c r="F24" s="30"/>
      <c r="G24" s="17"/>
    </row>
    <row r="25" spans="2:7" x14ac:dyDescent="0.35">
      <c r="B25" s="1">
        <v>23</v>
      </c>
      <c r="C25" s="30"/>
      <c r="D25" s="30"/>
      <c r="E25" s="30"/>
      <c r="F25" s="30"/>
      <c r="G25" s="17"/>
    </row>
    <row r="26" spans="2:7" x14ac:dyDescent="0.35">
      <c r="B26" s="1">
        <v>24</v>
      </c>
      <c r="C26" s="30"/>
      <c r="D26" s="30"/>
      <c r="E26" s="30"/>
      <c r="F26" s="30"/>
      <c r="G26" s="17"/>
    </row>
    <row r="27" spans="2:7" x14ac:dyDescent="0.35">
      <c r="B27" s="1">
        <v>25</v>
      </c>
      <c r="C27" s="30"/>
      <c r="D27" s="30"/>
      <c r="E27" s="30"/>
      <c r="F27" s="30"/>
      <c r="G27" s="17"/>
    </row>
    <row r="28" spans="2:7" x14ac:dyDescent="0.35">
      <c r="B28" s="1">
        <v>26</v>
      </c>
      <c r="C28" s="30"/>
      <c r="D28" s="30"/>
      <c r="E28" s="30"/>
      <c r="F28" s="30"/>
      <c r="G28" s="17"/>
    </row>
    <row r="29" spans="2:7" x14ac:dyDescent="0.35">
      <c r="B29" s="1">
        <v>27</v>
      </c>
      <c r="C29" s="30"/>
      <c r="D29" s="30"/>
      <c r="E29" s="30"/>
      <c r="F29" s="30"/>
      <c r="G29" s="17"/>
    </row>
    <row r="30" spans="2:7" x14ac:dyDescent="0.35">
      <c r="B30" s="1">
        <v>28</v>
      </c>
      <c r="C30" s="30"/>
      <c r="D30" s="30"/>
      <c r="E30" s="30"/>
      <c r="F30" s="30"/>
      <c r="G30" s="17"/>
    </row>
    <row r="31" spans="2:7" x14ac:dyDescent="0.35">
      <c r="B31" s="1">
        <v>29</v>
      </c>
      <c r="C31" s="30"/>
      <c r="D31" s="30"/>
      <c r="E31" s="30"/>
      <c r="F31" s="30"/>
      <c r="G31" s="17"/>
    </row>
    <row r="32" spans="2:7" x14ac:dyDescent="0.35">
      <c r="B32" s="1">
        <v>30</v>
      </c>
      <c r="C32" s="30"/>
      <c r="D32" s="30"/>
      <c r="E32" s="30"/>
      <c r="F32" s="30"/>
      <c r="G32" s="17"/>
    </row>
    <row r="33" spans="2:7" x14ac:dyDescent="0.35">
      <c r="B33" s="1">
        <v>31</v>
      </c>
      <c r="C33" s="30"/>
      <c r="D33" s="30"/>
      <c r="E33" s="30"/>
      <c r="F33" s="30"/>
      <c r="G33" s="17"/>
    </row>
    <row r="34" spans="2:7" x14ac:dyDescent="0.35">
      <c r="B34" s="1">
        <v>32</v>
      </c>
      <c r="C34" s="30"/>
      <c r="D34" s="30"/>
      <c r="E34" s="30"/>
      <c r="F34" s="30"/>
      <c r="G34" s="17"/>
    </row>
    <row r="35" spans="2:7" x14ac:dyDescent="0.35">
      <c r="B35" s="1">
        <v>33</v>
      </c>
      <c r="C35" s="30"/>
      <c r="D35" s="30"/>
      <c r="E35" s="30"/>
      <c r="F35" s="30"/>
      <c r="G35" s="17"/>
    </row>
    <row r="36" spans="2:7" x14ac:dyDescent="0.35">
      <c r="B36" s="1">
        <v>34</v>
      </c>
      <c r="C36" s="30"/>
      <c r="D36" s="30"/>
      <c r="E36" s="30"/>
      <c r="F36" s="30"/>
      <c r="G36" s="17"/>
    </row>
    <row r="37" spans="2:7" x14ac:dyDescent="0.35">
      <c r="B37" s="1">
        <v>35</v>
      </c>
      <c r="C37" s="30"/>
      <c r="D37" s="30"/>
      <c r="E37" s="30"/>
      <c r="F37" s="30"/>
      <c r="G37" s="17"/>
    </row>
    <row r="38" spans="2:7" x14ac:dyDescent="0.35">
      <c r="B38" s="1">
        <v>36</v>
      </c>
      <c r="C38" s="30"/>
      <c r="D38" s="30"/>
      <c r="E38" s="30"/>
      <c r="F38" s="30"/>
      <c r="G38" s="17"/>
    </row>
    <row r="39" spans="2:7" x14ac:dyDescent="0.35">
      <c r="B39" s="1">
        <v>37</v>
      </c>
      <c r="C39" s="30"/>
      <c r="D39" s="30"/>
      <c r="E39" s="30"/>
      <c r="F39" s="30"/>
      <c r="G39" s="17"/>
    </row>
    <row r="40" spans="2:7" x14ac:dyDescent="0.35">
      <c r="B40" s="1">
        <v>38</v>
      </c>
      <c r="C40" s="30"/>
      <c r="D40" s="30"/>
      <c r="E40" s="30"/>
      <c r="F40" s="30"/>
      <c r="G40" s="17"/>
    </row>
    <row r="41" spans="2:7" x14ac:dyDescent="0.35">
      <c r="B41" s="1">
        <v>39</v>
      </c>
      <c r="C41" s="30"/>
      <c r="D41" s="30"/>
      <c r="E41" s="30"/>
      <c r="F41" s="30"/>
      <c r="G41" s="17"/>
    </row>
    <row r="42" spans="2:7" x14ac:dyDescent="0.35">
      <c r="B42" s="1">
        <v>40</v>
      </c>
      <c r="C42" s="30"/>
      <c r="D42" s="30"/>
      <c r="E42" s="30"/>
      <c r="F42" s="30"/>
      <c r="G42" s="17"/>
    </row>
    <row r="43" spans="2:7" x14ac:dyDescent="0.35">
      <c r="B43" s="1">
        <v>41</v>
      </c>
      <c r="C43" s="30"/>
      <c r="D43" s="30"/>
      <c r="E43" s="30"/>
      <c r="F43" s="30"/>
      <c r="G43" s="17"/>
    </row>
    <row r="44" spans="2:7" x14ac:dyDescent="0.35">
      <c r="B44" s="1">
        <v>42</v>
      </c>
      <c r="C44" s="30"/>
      <c r="D44" s="30"/>
      <c r="E44" s="30"/>
      <c r="F44" s="30"/>
      <c r="G44" s="17"/>
    </row>
    <row r="45" spans="2:7" x14ac:dyDescent="0.35">
      <c r="B45" s="1">
        <v>43</v>
      </c>
      <c r="C45" s="30"/>
      <c r="D45" s="30"/>
      <c r="E45" s="30"/>
      <c r="F45" s="30"/>
      <c r="G45" s="17"/>
    </row>
    <row r="46" spans="2:7" x14ac:dyDescent="0.35">
      <c r="B46" s="1">
        <v>44</v>
      </c>
      <c r="C46" s="30"/>
      <c r="D46" s="30"/>
      <c r="E46" s="30"/>
      <c r="F46" s="30"/>
      <c r="G46" s="17"/>
    </row>
    <row r="47" spans="2:7" x14ac:dyDescent="0.35">
      <c r="B47" s="1">
        <v>45</v>
      </c>
      <c r="C47" s="30"/>
      <c r="D47" s="30"/>
      <c r="E47" s="30"/>
      <c r="F47" s="30"/>
      <c r="G47" s="17"/>
    </row>
    <row r="48" spans="2:7" x14ac:dyDescent="0.35">
      <c r="B48" s="1">
        <v>46</v>
      </c>
      <c r="C48" s="30"/>
      <c r="D48" s="30"/>
      <c r="E48" s="30"/>
      <c r="F48" s="30"/>
      <c r="G48" s="17"/>
    </row>
    <row r="49" spans="2:7" x14ac:dyDescent="0.35">
      <c r="B49" s="1">
        <v>47</v>
      </c>
      <c r="C49" s="30"/>
      <c r="D49" s="30"/>
      <c r="E49" s="30"/>
      <c r="F49" s="30"/>
      <c r="G49" s="17"/>
    </row>
    <row r="50" spans="2:7" x14ac:dyDescent="0.35">
      <c r="B50" s="1">
        <v>48</v>
      </c>
      <c r="C50" s="30"/>
      <c r="D50" s="30"/>
      <c r="E50" s="30"/>
      <c r="F50" s="30"/>
      <c r="G50" s="17"/>
    </row>
    <row r="51" spans="2:7" x14ac:dyDescent="0.35">
      <c r="B51" s="1">
        <v>49</v>
      </c>
      <c r="C51" s="30"/>
      <c r="D51" s="30"/>
      <c r="E51" s="30"/>
      <c r="F51" s="30"/>
      <c r="G51" s="17"/>
    </row>
    <row r="52" spans="2:7" x14ac:dyDescent="0.35">
      <c r="B52" s="1">
        <v>50</v>
      </c>
      <c r="C52" s="30"/>
      <c r="D52" s="30"/>
      <c r="E52" s="30"/>
      <c r="F52" s="30"/>
      <c r="G52" s="17"/>
    </row>
    <row r="53" spans="2:7" x14ac:dyDescent="0.35">
      <c r="B53" s="1">
        <v>51</v>
      </c>
      <c r="C53" s="30"/>
      <c r="D53" s="30"/>
      <c r="E53" s="30"/>
      <c r="F53" s="30"/>
      <c r="G53" s="17"/>
    </row>
    <row r="54" spans="2:7" x14ac:dyDescent="0.35">
      <c r="B54" s="1">
        <v>52</v>
      </c>
      <c r="C54" s="30"/>
      <c r="D54" s="30"/>
      <c r="E54" s="30"/>
      <c r="F54" s="30"/>
      <c r="G54" s="17"/>
    </row>
    <row r="55" spans="2:7" x14ac:dyDescent="0.35">
      <c r="B55" s="1">
        <v>53</v>
      </c>
      <c r="C55" s="30"/>
      <c r="D55" s="30"/>
      <c r="E55" s="30"/>
      <c r="F55" s="30"/>
      <c r="G55" s="17"/>
    </row>
    <row r="56" spans="2:7" x14ac:dyDescent="0.35">
      <c r="B56" s="1">
        <v>54</v>
      </c>
      <c r="C56" s="30"/>
      <c r="D56" s="30"/>
      <c r="E56" s="30"/>
      <c r="F56" s="30"/>
      <c r="G56" s="17"/>
    </row>
    <row r="57" spans="2:7" x14ac:dyDescent="0.35">
      <c r="B57" s="1">
        <v>55</v>
      </c>
      <c r="C57" s="30"/>
      <c r="D57" s="30"/>
      <c r="E57" s="30"/>
      <c r="F57" s="30"/>
      <c r="G57" s="17"/>
    </row>
    <row r="58" spans="2:7" x14ac:dyDescent="0.35">
      <c r="B58" s="1">
        <v>56</v>
      </c>
      <c r="C58" s="30"/>
      <c r="D58" s="30"/>
      <c r="E58" s="30"/>
      <c r="F58" s="30"/>
      <c r="G58" s="17"/>
    </row>
    <row r="59" spans="2:7" x14ac:dyDescent="0.35">
      <c r="B59" s="1">
        <v>57</v>
      </c>
      <c r="C59" s="30"/>
      <c r="D59" s="30"/>
      <c r="E59" s="30"/>
      <c r="F59" s="30"/>
      <c r="G59" s="17"/>
    </row>
    <row r="60" spans="2:7" x14ac:dyDescent="0.35">
      <c r="B60" s="1">
        <v>58</v>
      </c>
      <c r="C60" s="30"/>
      <c r="D60" s="30"/>
      <c r="E60" s="30"/>
      <c r="F60" s="30"/>
      <c r="G60" s="17"/>
    </row>
    <row r="61" spans="2:7" x14ac:dyDescent="0.35">
      <c r="B61" s="1">
        <v>59</v>
      </c>
      <c r="C61" s="30"/>
      <c r="D61" s="30"/>
      <c r="E61" s="30"/>
      <c r="F61" s="30"/>
      <c r="G61" s="17"/>
    </row>
    <row r="62" spans="2:7" x14ac:dyDescent="0.35">
      <c r="B62" s="1">
        <v>60</v>
      </c>
      <c r="C62" s="30"/>
      <c r="D62" s="30"/>
      <c r="E62" s="30"/>
      <c r="F62" s="30"/>
      <c r="G62" s="17"/>
    </row>
    <row r="63" spans="2:7" x14ac:dyDescent="0.35">
      <c r="B63" s="1">
        <v>61</v>
      </c>
      <c r="C63" s="30"/>
      <c r="D63" s="30"/>
      <c r="E63" s="30"/>
      <c r="F63" s="30"/>
      <c r="G63" s="17"/>
    </row>
    <row r="64" spans="2:7" x14ac:dyDescent="0.35">
      <c r="B64" s="1">
        <v>62</v>
      </c>
      <c r="C64" s="30"/>
      <c r="D64" s="30"/>
      <c r="E64" s="30"/>
      <c r="F64" s="30"/>
      <c r="G64" s="17"/>
    </row>
    <row r="65" spans="2:7" x14ac:dyDescent="0.35">
      <c r="B65" s="1">
        <v>63</v>
      </c>
      <c r="C65" s="30"/>
      <c r="D65" s="30"/>
      <c r="E65" s="30"/>
      <c r="F65" s="30"/>
      <c r="G65" s="17"/>
    </row>
    <row r="66" spans="2:7" x14ac:dyDescent="0.35">
      <c r="B66" s="1">
        <v>64</v>
      </c>
      <c r="C66" s="30"/>
      <c r="D66" s="30"/>
      <c r="E66" s="30"/>
      <c r="F66" s="30"/>
      <c r="G66" s="17"/>
    </row>
    <row r="67" spans="2:7" x14ac:dyDescent="0.35">
      <c r="B67" s="1">
        <v>65</v>
      </c>
      <c r="C67" s="30"/>
      <c r="D67" s="30"/>
      <c r="E67" s="30"/>
      <c r="F67" s="30"/>
      <c r="G67" s="17"/>
    </row>
    <row r="68" spans="2:7" x14ac:dyDescent="0.35">
      <c r="B68" s="1">
        <v>66</v>
      </c>
      <c r="C68" s="30"/>
      <c r="D68" s="30"/>
      <c r="E68" s="30"/>
      <c r="F68" s="30"/>
      <c r="G68" s="17"/>
    </row>
    <row r="69" spans="2:7" x14ac:dyDescent="0.35">
      <c r="B69" s="1">
        <v>67</v>
      </c>
      <c r="C69" s="30"/>
      <c r="D69" s="30"/>
      <c r="E69" s="30"/>
      <c r="F69" s="30"/>
      <c r="G69" s="17"/>
    </row>
    <row r="70" spans="2:7" x14ac:dyDescent="0.35">
      <c r="B70" s="1">
        <v>68</v>
      </c>
      <c r="C70" s="30"/>
      <c r="D70" s="30"/>
      <c r="E70" s="30"/>
      <c r="F70" s="30"/>
      <c r="G70" s="17"/>
    </row>
    <row r="71" spans="2:7" x14ac:dyDescent="0.35">
      <c r="B71" s="1">
        <v>69</v>
      </c>
      <c r="C71" s="30"/>
      <c r="D71" s="30"/>
      <c r="E71" s="30"/>
      <c r="F71" s="30"/>
      <c r="G71" s="17"/>
    </row>
    <row r="72" spans="2:7" x14ac:dyDescent="0.35">
      <c r="B72" s="1">
        <v>70</v>
      </c>
      <c r="C72" s="30"/>
      <c r="D72" s="30"/>
      <c r="E72" s="30"/>
      <c r="F72" s="30"/>
      <c r="G72" s="17"/>
    </row>
    <row r="73" spans="2:7" x14ac:dyDescent="0.35">
      <c r="B73" s="1">
        <v>71</v>
      </c>
      <c r="C73" s="30"/>
      <c r="D73" s="30"/>
      <c r="E73" s="30"/>
      <c r="F73" s="30"/>
      <c r="G73" s="17"/>
    </row>
    <row r="74" spans="2:7" x14ac:dyDescent="0.35">
      <c r="B74" s="1">
        <v>72</v>
      </c>
      <c r="C74" s="30"/>
      <c r="D74" s="30"/>
      <c r="E74" s="30"/>
      <c r="F74" s="30"/>
      <c r="G74" s="17"/>
    </row>
    <row r="75" spans="2:7" x14ac:dyDescent="0.35">
      <c r="B75" s="1">
        <v>73</v>
      </c>
      <c r="C75" s="30"/>
      <c r="D75" s="30"/>
      <c r="E75" s="30"/>
      <c r="F75" s="30"/>
      <c r="G75" s="17"/>
    </row>
    <row r="76" spans="2:7" x14ac:dyDescent="0.35">
      <c r="B76" s="1">
        <v>74</v>
      </c>
      <c r="C76" s="30"/>
      <c r="D76" s="30"/>
      <c r="E76" s="30"/>
      <c r="F76" s="30"/>
      <c r="G76" s="17"/>
    </row>
    <row r="77" spans="2:7" x14ac:dyDescent="0.35">
      <c r="B77" s="1">
        <v>75</v>
      </c>
      <c r="C77" s="30"/>
      <c r="D77" s="30"/>
      <c r="E77" s="30"/>
      <c r="F77" s="30"/>
      <c r="G77" s="17"/>
    </row>
    <row r="78" spans="2:7" x14ac:dyDescent="0.35">
      <c r="B78" s="1">
        <v>76</v>
      </c>
      <c r="C78" s="30"/>
      <c r="D78" s="30"/>
      <c r="E78" s="30"/>
      <c r="F78" s="30"/>
      <c r="G78" s="17"/>
    </row>
    <row r="79" spans="2:7" x14ac:dyDescent="0.35">
      <c r="B79" s="1">
        <v>77</v>
      </c>
      <c r="C79" s="30"/>
      <c r="D79" s="30"/>
      <c r="E79" s="30"/>
      <c r="F79" s="30"/>
      <c r="G79" s="17"/>
    </row>
    <row r="80" spans="2:7" x14ac:dyDescent="0.35">
      <c r="B80" s="1">
        <v>78</v>
      </c>
      <c r="C80" s="30"/>
      <c r="D80" s="30"/>
      <c r="E80" s="30"/>
      <c r="F80" s="30"/>
      <c r="G80" s="17"/>
    </row>
    <row r="81" spans="2:7" x14ac:dyDescent="0.35">
      <c r="B81" s="1">
        <v>79</v>
      </c>
      <c r="C81" s="30"/>
      <c r="D81" s="30"/>
      <c r="E81" s="30"/>
      <c r="F81" s="30"/>
      <c r="G81" s="17"/>
    </row>
    <row r="82" spans="2:7" x14ac:dyDescent="0.35">
      <c r="B82" s="1">
        <v>80</v>
      </c>
      <c r="C82" s="30"/>
      <c r="D82" s="30"/>
      <c r="E82" s="30"/>
      <c r="F82" s="30"/>
      <c r="G82" s="17"/>
    </row>
    <row r="83" spans="2:7" x14ac:dyDescent="0.35">
      <c r="B83" s="1">
        <v>81</v>
      </c>
      <c r="C83" s="30"/>
      <c r="D83" s="30"/>
      <c r="E83" s="30"/>
      <c r="F83" s="30"/>
      <c r="G83" s="17"/>
    </row>
    <row r="84" spans="2:7" x14ac:dyDescent="0.35">
      <c r="B84" s="1">
        <v>82</v>
      </c>
      <c r="C84" s="30"/>
      <c r="D84" s="30"/>
      <c r="E84" s="30"/>
      <c r="F84" s="30"/>
      <c r="G84" s="17"/>
    </row>
    <row r="85" spans="2:7" x14ac:dyDescent="0.35">
      <c r="B85" s="1">
        <v>83</v>
      </c>
      <c r="C85" s="30"/>
      <c r="D85" s="30"/>
      <c r="E85" s="30"/>
      <c r="F85" s="30"/>
      <c r="G85" s="17"/>
    </row>
    <row r="86" spans="2:7" ht="15" thickBot="1" x14ac:dyDescent="0.4">
      <c r="B86" s="2">
        <v>84</v>
      </c>
      <c r="C86" s="31"/>
      <c r="D86" s="31"/>
      <c r="E86" s="31"/>
      <c r="F86" s="31"/>
      <c r="G86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0839-ACC1-4684-8AA9-A0A392D0956B}">
  <dimension ref="B1:G43"/>
  <sheetViews>
    <sheetView zoomScaleNormal="100" workbookViewId="0">
      <selection activeCell="E4" sqref="E4"/>
    </sheetView>
  </sheetViews>
  <sheetFormatPr baseColWidth="10" defaultRowHeight="14.5" x14ac:dyDescent="0.35"/>
  <cols>
    <col min="2" max="2" width="26.54296875" customWidth="1"/>
    <col min="3" max="3" width="15.453125" customWidth="1"/>
    <col min="4" max="4" width="12.453125" bestFit="1" customWidth="1"/>
    <col min="5" max="5" width="28.1796875" bestFit="1" customWidth="1"/>
    <col min="6" max="6" width="17.08984375" customWidth="1"/>
    <col min="7" max="7" width="12.453125" customWidth="1"/>
  </cols>
  <sheetData>
    <row r="1" spans="2:7" ht="15" thickBot="1" x14ac:dyDescent="0.4"/>
    <row r="2" spans="2:7" x14ac:dyDescent="0.35">
      <c r="B2" s="83" t="s">
        <v>39</v>
      </c>
      <c r="C2" s="84"/>
      <c r="D2" s="85"/>
      <c r="E2" s="85" t="s">
        <v>40</v>
      </c>
      <c r="F2" s="86"/>
      <c r="G2" s="87"/>
    </row>
    <row r="3" spans="2:7" x14ac:dyDescent="0.35">
      <c r="B3" s="33"/>
      <c r="C3" s="33">
        <v>2019</v>
      </c>
      <c r="D3" s="33">
        <v>2020</v>
      </c>
      <c r="E3" s="33"/>
      <c r="F3" s="33">
        <v>2019</v>
      </c>
      <c r="G3" s="33">
        <v>2020</v>
      </c>
    </row>
    <row r="4" spans="2:7" x14ac:dyDescent="0.35">
      <c r="B4" s="24" t="s">
        <v>41</v>
      </c>
      <c r="C4" s="63"/>
      <c r="D4" s="25"/>
      <c r="E4" s="24" t="s">
        <v>42</v>
      </c>
      <c r="F4" s="67"/>
      <c r="G4" s="25"/>
    </row>
    <row r="5" spans="2:7" x14ac:dyDescent="0.35">
      <c r="B5" s="6" t="s">
        <v>41</v>
      </c>
      <c r="C5" s="30"/>
      <c r="D5" s="47"/>
      <c r="E5" s="48" t="s">
        <v>46</v>
      </c>
      <c r="F5" s="68"/>
      <c r="G5" s="49"/>
    </row>
    <row r="6" spans="2:7" x14ac:dyDescent="0.35">
      <c r="B6" s="6" t="s">
        <v>50</v>
      </c>
      <c r="C6" s="30"/>
      <c r="D6" s="50"/>
      <c r="E6" s="48" t="s">
        <v>47</v>
      </c>
      <c r="F6" s="30"/>
      <c r="G6" s="17"/>
    </row>
    <row r="7" spans="2:7" ht="29" x14ac:dyDescent="0.35">
      <c r="B7" s="6" t="s">
        <v>51</v>
      </c>
      <c r="C7" s="30"/>
      <c r="D7" s="51"/>
      <c r="E7" s="48" t="s">
        <v>48</v>
      </c>
      <c r="F7" s="30"/>
      <c r="G7" s="17"/>
    </row>
    <row r="8" spans="2:7" x14ac:dyDescent="0.35">
      <c r="B8" s="11" t="s">
        <v>49</v>
      </c>
      <c r="C8" s="54"/>
      <c r="D8" s="15"/>
      <c r="E8" s="11" t="s">
        <v>43</v>
      </c>
      <c r="F8" s="54"/>
      <c r="G8" s="15"/>
    </row>
    <row r="9" spans="2:7" x14ac:dyDescent="0.35">
      <c r="B9" s="12" t="s">
        <v>52</v>
      </c>
      <c r="C9" s="55"/>
      <c r="D9" s="23"/>
      <c r="E9" s="1"/>
      <c r="F9" s="56"/>
      <c r="G9" s="17"/>
    </row>
    <row r="10" spans="2:7" x14ac:dyDescent="0.35">
      <c r="B10" s="1" t="s">
        <v>53</v>
      </c>
      <c r="C10" s="56"/>
      <c r="D10" s="30"/>
      <c r="E10" s="53"/>
      <c r="F10" s="56"/>
      <c r="G10" s="17"/>
    </row>
    <row r="11" spans="2:7" x14ac:dyDescent="0.35">
      <c r="B11" s="1" t="s">
        <v>54</v>
      </c>
      <c r="C11" s="56"/>
      <c r="D11" s="30"/>
      <c r="E11" s="53"/>
      <c r="F11" s="56"/>
      <c r="G11" s="17"/>
    </row>
    <row r="12" spans="2:7" x14ac:dyDescent="0.35">
      <c r="B12" s="1" t="s">
        <v>55</v>
      </c>
      <c r="C12" s="56"/>
      <c r="D12" s="30"/>
      <c r="E12" s="53"/>
      <c r="F12" s="56"/>
      <c r="G12" s="17"/>
    </row>
    <row r="13" spans="2:7" x14ac:dyDescent="0.35">
      <c r="B13" s="1" t="s">
        <v>56</v>
      </c>
      <c r="C13" s="56"/>
      <c r="D13" s="30"/>
      <c r="E13" s="53"/>
      <c r="F13" s="56"/>
      <c r="G13" s="17"/>
    </row>
    <row r="14" spans="2:7" x14ac:dyDescent="0.35">
      <c r="B14" s="1" t="s">
        <v>57</v>
      </c>
      <c r="C14" s="56"/>
      <c r="D14" s="30"/>
      <c r="E14" s="53"/>
      <c r="F14" s="56"/>
      <c r="G14" s="17"/>
    </row>
    <row r="15" spans="2:7" x14ac:dyDescent="0.35">
      <c r="B15" s="1" t="s">
        <v>58</v>
      </c>
      <c r="C15" s="56"/>
      <c r="D15" s="30"/>
      <c r="E15" s="53"/>
      <c r="F15" s="56"/>
      <c r="G15" s="17"/>
    </row>
    <row r="16" spans="2:7" x14ac:dyDescent="0.35">
      <c r="B16" s="1" t="s">
        <v>59</v>
      </c>
      <c r="C16" s="56"/>
      <c r="D16" s="30"/>
      <c r="E16" s="53"/>
      <c r="F16" s="56"/>
      <c r="G16" s="17"/>
    </row>
    <row r="17" spans="2:7" x14ac:dyDescent="0.35">
      <c r="B17" s="1" t="s">
        <v>60</v>
      </c>
      <c r="C17" s="56"/>
      <c r="D17" s="30"/>
      <c r="E17" s="53"/>
      <c r="F17" s="56"/>
      <c r="G17" s="17"/>
    </row>
    <row r="18" spans="2:7" x14ac:dyDescent="0.35">
      <c r="B18" s="1" t="s">
        <v>61</v>
      </c>
      <c r="C18" s="56"/>
      <c r="D18" s="30"/>
      <c r="E18" s="53"/>
      <c r="F18" s="56"/>
      <c r="G18" s="17"/>
    </row>
    <row r="19" spans="2:7" x14ac:dyDescent="0.35">
      <c r="B19" s="1"/>
      <c r="C19" s="56"/>
      <c r="D19" s="17"/>
      <c r="E19" s="1"/>
      <c r="F19" s="56"/>
      <c r="G19" s="17"/>
    </row>
    <row r="20" spans="2:7" x14ac:dyDescent="0.35">
      <c r="B20" s="11" t="s">
        <v>44</v>
      </c>
      <c r="C20" s="54"/>
      <c r="D20" s="15"/>
      <c r="E20" s="1"/>
      <c r="F20" s="56"/>
      <c r="G20" s="17"/>
    </row>
    <row r="21" spans="2:7" x14ac:dyDescent="0.35">
      <c r="B21" s="1" t="s">
        <v>62</v>
      </c>
      <c r="C21" s="57"/>
      <c r="D21" s="52"/>
      <c r="E21" s="1"/>
      <c r="F21" s="56"/>
      <c r="G21" s="17"/>
    </row>
    <row r="22" spans="2:7" x14ac:dyDescent="0.35">
      <c r="B22" s="11" t="s">
        <v>72</v>
      </c>
      <c r="C22" s="54"/>
      <c r="D22" s="15"/>
      <c r="E22" s="1"/>
      <c r="F22" s="56"/>
      <c r="G22" s="17"/>
    </row>
    <row r="23" spans="2:7" x14ac:dyDescent="0.35">
      <c r="B23" s="1" t="s">
        <v>63</v>
      </c>
      <c r="C23" s="56"/>
      <c r="D23" s="17"/>
      <c r="E23" s="1"/>
      <c r="F23" s="56"/>
      <c r="G23" s="17"/>
    </row>
    <row r="24" spans="2:7" x14ac:dyDescent="0.35">
      <c r="B24" s="1" t="s">
        <v>64</v>
      </c>
      <c r="C24" s="56"/>
      <c r="D24" s="17"/>
      <c r="E24" s="1"/>
      <c r="F24" s="56"/>
      <c r="G24" s="17"/>
    </row>
    <row r="25" spans="2:7" x14ac:dyDescent="0.35">
      <c r="B25" s="1" t="s">
        <v>65</v>
      </c>
      <c r="C25" s="56"/>
      <c r="D25" s="17"/>
      <c r="E25" s="1"/>
      <c r="F25" s="56"/>
      <c r="G25" s="17"/>
    </row>
    <row r="26" spans="2:7" x14ac:dyDescent="0.35">
      <c r="B26" s="1" t="s">
        <v>66</v>
      </c>
      <c r="C26" s="56"/>
      <c r="D26" s="17"/>
      <c r="E26" s="1"/>
      <c r="F26" s="56"/>
      <c r="G26" s="17"/>
    </row>
    <row r="27" spans="2:7" x14ac:dyDescent="0.35">
      <c r="B27" s="64" t="s">
        <v>73</v>
      </c>
      <c r="C27" s="65"/>
      <c r="D27" s="66"/>
      <c r="E27" s="1"/>
      <c r="F27" s="56"/>
      <c r="G27" s="17"/>
    </row>
    <row r="28" spans="2:7" ht="29" x14ac:dyDescent="0.35">
      <c r="B28" s="11" t="s">
        <v>45</v>
      </c>
      <c r="C28" s="54"/>
      <c r="D28" s="15"/>
      <c r="E28" s="1"/>
      <c r="F28" s="56"/>
      <c r="G28" s="17"/>
    </row>
    <row r="29" spans="2:7" ht="15" thickBot="1" x14ac:dyDescent="0.4">
      <c r="B29" s="34" t="s">
        <v>67</v>
      </c>
      <c r="C29" s="58"/>
      <c r="D29" s="35"/>
      <c r="E29" s="36"/>
      <c r="F29" s="69"/>
      <c r="G29" s="37"/>
    </row>
    <row r="30" spans="2:7" ht="15" thickBot="1" x14ac:dyDescent="0.4">
      <c r="B30" s="60" t="s">
        <v>68</v>
      </c>
      <c r="C30" s="61"/>
      <c r="D30" s="62"/>
      <c r="E30" s="60" t="s">
        <v>71</v>
      </c>
      <c r="F30" s="61"/>
      <c r="G30" s="62"/>
    </row>
    <row r="31" spans="2:7" ht="15" thickBot="1" x14ac:dyDescent="0.4">
      <c r="B31" s="8" t="s">
        <v>69</v>
      </c>
      <c r="C31" s="59"/>
      <c r="D31" s="18"/>
      <c r="E31" s="8"/>
      <c r="F31" s="59"/>
      <c r="G31" s="18"/>
    </row>
    <row r="32" spans="2:7" ht="15" thickBot="1" x14ac:dyDescent="0.4">
      <c r="B32" s="8" t="s">
        <v>70</v>
      </c>
      <c r="C32" s="59"/>
      <c r="D32" s="18"/>
      <c r="E32" s="8"/>
      <c r="F32" s="59"/>
      <c r="G32" s="18"/>
    </row>
    <row r="34" spans="2:6" x14ac:dyDescent="0.35">
      <c r="B34" s="88" t="s">
        <v>74</v>
      </c>
      <c r="C34" s="88"/>
      <c r="D34" s="88"/>
    </row>
    <row r="35" spans="2:6" x14ac:dyDescent="0.35">
      <c r="B35" s="70"/>
      <c r="C35" s="73"/>
      <c r="D35" s="73"/>
      <c r="F35" t="s">
        <v>76</v>
      </c>
    </row>
    <row r="36" spans="2:6" x14ac:dyDescent="0.35">
      <c r="B36" s="72"/>
      <c r="C36" s="73"/>
      <c r="D36" s="73"/>
    </row>
    <row r="37" spans="2:6" x14ac:dyDescent="0.35">
      <c r="B37" s="71"/>
      <c r="C37" s="73"/>
      <c r="D37" s="73"/>
    </row>
    <row r="39" spans="2:6" x14ac:dyDescent="0.35">
      <c r="B39" s="88" t="s">
        <v>75</v>
      </c>
      <c r="C39" s="88"/>
      <c r="D39" s="88"/>
    </row>
    <row r="40" spans="2:6" x14ac:dyDescent="0.35">
      <c r="B40" s="71"/>
      <c r="C40" s="73"/>
      <c r="D40" s="73"/>
    </row>
    <row r="41" spans="2:6" x14ac:dyDescent="0.35">
      <c r="B41" s="72"/>
      <c r="C41" s="73"/>
      <c r="D41" s="73"/>
    </row>
    <row r="42" spans="2:6" x14ac:dyDescent="0.35">
      <c r="B42" s="72"/>
      <c r="C42" s="73"/>
      <c r="D42" s="73"/>
    </row>
    <row r="43" spans="2:6" x14ac:dyDescent="0.35">
      <c r="B43" s="71"/>
      <c r="C43" s="73"/>
      <c r="D43" s="73"/>
    </row>
  </sheetData>
  <mergeCells count="4">
    <mergeCell ref="B2:D2"/>
    <mergeCell ref="E2:G2"/>
    <mergeCell ref="B39:D39"/>
    <mergeCell ref="B34:D34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Données Exercice</vt:lpstr>
      <vt:lpstr>Plan financement</vt:lpstr>
      <vt:lpstr>Tableaux ammortissement</vt:lpstr>
      <vt:lpstr>Tableaux remboursement</vt:lpstr>
      <vt:lpstr>Compte de résultat A.C.I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boilley lopez</dc:creator>
  <cp:lastModifiedBy>richard boilley lopez</cp:lastModifiedBy>
  <dcterms:created xsi:type="dcterms:W3CDTF">2019-03-06T09:48:32Z</dcterms:created>
  <dcterms:modified xsi:type="dcterms:W3CDTF">2019-03-20T17:42:00Z</dcterms:modified>
</cp:coreProperties>
</file>